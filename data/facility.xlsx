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odes\Python\PyCharm Projects\private-credit-performance\data\"/>
    </mc:Choice>
  </mc:AlternateContent>
  <xr:revisionPtr revIDLastSave="0" documentId="13_ncr:1_{A7FB63DC-D78A-4B17-A0AF-D87032B3C11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</calcChain>
</file>

<file path=xl/sharedStrings.xml><?xml version="1.0" encoding="utf-8"?>
<sst xmlns="http://schemas.openxmlformats.org/spreadsheetml/2006/main" count="13" uniqueCount="13">
  <si>
    <t>date</t>
  </si>
  <si>
    <t>drawn</t>
  </si>
  <si>
    <t>commitment</t>
  </si>
  <si>
    <t>advance_rate</t>
  </si>
  <si>
    <t>oc_cushion</t>
  </si>
  <si>
    <t>ic_cushion</t>
  </si>
  <si>
    <t>cost_of_funds</t>
  </si>
  <si>
    <t>eligible_collateral</t>
  </si>
  <si>
    <t>borrowing_base_gross</t>
  </si>
  <si>
    <t>reserve</t>
  </si>
  <si>
    <t>borrowing_base_net</t>
  </si>
  <si>
    <t>headroom</t>
  </si>
  <si>
    <t>margin_call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</si>
</sst>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yyyy\-mm\-dd\ hh:mm:ss"/>
    <numFmt numFmtId="165" formatCode="_-* #,##0_-;\-* #,##0_-;_-* &quot;-&quot;??_-;_-@_-"/>
    <numFmt numFmtId="166" formatCode="0.0%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1" applyNumberFormat="1" applyFont="1"/>
    <xf numFmtId="166" fontId="0" fillId="0" borderId="0" xfId="2" applyNumberFormat="1" applyFont="1"/>
    <xf numFmtId="9" fontId="0" fillId="0" borderId="0" xfId="2" applyFont="1"/>
    <xf numFmtId="43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workbookViewId="0">
      <selection activeCell="M15" sqref="M15"/>
    </sheetView>
  </sheetViews>
  <sheetFormatPr defaultRowHeight="15" x14ac:dyDescent="0.25"/>
  <cols>
    <col min="1" max="1" width="18.28515625" bestFit="1" customWidth="1"/>
    <col min="2" max="3" width="14.28515625" bestFit="1" customWidth="1"/>
    <col min="4" max="4" width="12.85546875" bestFit="1" customWidth="1"/>
    <col min="5" max="5" width="10.85546875" bestFit="1" customWidth="1"/>
    <col min="6" max="6" width="15.28515625" bestFit="1" customWidth="1"/>
    <col min="7" max="7" width="13.5703125" bestFit="1" customWidth="1"/>
    <col min="8" max="8" width="17.42578125" bestFit="1" customWidth="1"/>
    <col min="9" max="9" width="21.28515625" bestFit="1" customWidth="1"/>
    <col min="10" max="10" width="13.28515625" bestFit="1" customWidth="1"/>
    <col min="11" max="11" width="19.7109375" bestFit="1" customWidth="1"/>
    <col min="12" max="12" width="14.28515625" bestFit="1" customWidth="1"/>
    <col min="13" max="13" width="12.57031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>
        <v>45322</v>
      </c>
      <c r="B2" s="3">
        <v>57789497.741680667</v>
      </c>
      <c r="C2" s="3">
        <v>90000000</v>
      </c>
      <c r="D2" s="5">
        <f>I2/H2</f>
        <v>0.69937783164757727</v>
      </c>
      <c r="E2" s="5">
        <v>0.18</v>
      </c>
      <c r="F2" s="5">
        <v>0.22</v>
      </c>
      <c r="G2" s="4">
        <v>4.4999999999999998E-2</v>
      </c>
      <c r="H2" s="3">
        <v>119775600.8403361</v>
      </c>
      <c r="I2" s="3">
        <v>83768400</v>
      </c>
      <c r="J2" s="3">
        <v>1197756.008403362</v>
      </c>
      <c r="K2" s="3">
        <v>82570643.991596639</v>
      </c>
      <c r="L2" s="3">
        <v>24781146.249915969</v>
      </c>
      <c r="M2">
        <v>0</v>
      </c>
    </row>
    <row r="3" spans="1:13" x14ac:dyDescent="0.25">
      <c r="A3" s="2">
        <v>45351</v>
      </c>
      <c r="B3" s="3">
        <v>64242539.730548702</v>
      </c>
      <c r="C3" s="3">
        <v>90000000</v>
      </c>
      <c r="D3" s="5">
        <f t="shared" ref="D3:D13" si="0">I3/H3</f>
        <v>0.69828755079666061</v>
      </c>
      <c r="E3" s="5">
        <v>0.17399999999999999</v>
      </c>
      <c r="F3" s="5">
        <v>0.21299999999999999</v>
      </c>
      <c r="G3" s="4">
        <v>4.527272727272727E-2</v>
      </c>
      <c r="H3" s="3">
        <v>125231465.068299</v>
      </c>
      <c r="I3" s="3">
        <v>87447573.025220066</v>
      </c>
      <c r="J3" s="3">
        <v>1252314.65068299</v>
      </c>
      <c r="K3" s="3">
        <v>86195258.374537081</v>
      </c>
      <c r="L3" s="3">
        <v>21952718.643988378</v>
      </c>
      <c r="M3">
        <v>0</v>
      </c>
    </row>
    <row r="4" spans="1:13" x14ac:dyDescent="0.25">
      <c r="A4" s="2">
        <v>45382</v>
      </c>
      <c r="B4" s="3">
        <v>69740425.636714324</v>
      </c>
      <c r="C4" s="3">
        <v>90000000</v>
      </c>
      <c r="D4" s="5">
        <f t="shared" si="0"/>
        <v>0.69669911162872422</v>
      </c>
      <c r="E4" s="5">
        <v>0.16800000000000001</v>
      </c>
      <c r="F4" s="5">
        <v>0.20599999999999999</v>
      </c>
      <c r="G4" s="4">
        <v>4.5545454545454542E-2</v>
      </c>
      <c r="H4" s="3">
        <v>130695849.8780524</v>
      </c>
      <c r="I4" s="3">
        <v>91055682.50360021</v>
      </c>
      <c r="J4" s="3">
        <v>1306958.4987805239</v>
      </c>
      <c r="K4" s="3">
        <v>89748724.004819691</v>
      </c>
      <c r="L4" s="3">
        <v>20008298.368105371</v>
      </c>
      <c r="M4">
        <v>0</v>
      </c>
    </row>
    <row r="5" spans="1:13" x14ac:dyDescent="0.25">
      <c r="A5" s="2">
        <v>45412</v>
      </c>
      <c r="B5" s="3">
        <v>73643013.420384765</v>
      </c>
      <c r="C5" s="3">
        <v>90000000</v>
      </c>
      <c r="D5" s="5">
        <f t="shared" si="0"/>
        <v>0.69662599984602436</v>
      </c>
      <c r="E5" s="5">
        <v>0.16200000000000001</v>
      </c>
      <c r="F5" s="5">
        <v>0.19900000000000001</v>
      </c>
      <c r="G5" s="4">
        <v>4.5818181818181813E-2</v>
      </c>
      <c r="H5" s="3">
        <v>130995070.54096361</v>
      </c>
      <c r="I5" s="3">
        <v>91254571.990499258</v>
      </c>
      <c r="J5" s="3">
        <v>1309950.705409636</v>
      </c>
      <c r="K5" s="3">
        <v>89944621.285089627</v>
      </c>
      <c r="L5" s="3">
        <v>16301607.86470486</v>
      </c>
      <c r="M5">
        <v>0</v>
      </c>
    </row>
    <row r="6" spans="1:13" x14ac:dyDescent="0.25">
      <c r="A6" s="2">
        <v>45443</v>
      </c>
      <c r="B6" s="3">
        <v>76907067.008066714</v>
      </c>
      <c r="C6" s="3">
        <v>90000000</v>
      </c>
      <c r="D6" s="5">
        <f t="shared" si="0"/>
        <v>0.69623350197831635</v>
      </c>
      <c r="E6" s="5">
        <v>0.156</v>
      </c>
      <c r="F6" s="5">
        <v>0.192</v>
      </c>
      <c r="G6" s="4">
        <v>4.6090909090909092E-2</v>
      </c>
      <c r="H6" s="3">
        <v>133880136.3788593</v>
      </c>
      <c r="I6" s="3">
        <v>93211836.196387798</v>
      </c>
      <c r="J6" s="3">
        <v>1338801.3637885931</v>
      </c>
      <c r="K6" s="3">
        <v>91873034.832599208</v>
      </c>
      <c r="L6" s="3">
        <v>14965967.82453249</v>
      </c>
      <c r="M6">
        <v>0</v>
      </c>
    </row>
    <row r="7" spans="1:13" x14ac:dyDescent="0.25">
      <c r="A7" s="2">
        <v>45473</v>
      </c>
      <c r="B7" s="3">
        <v>78711195.205320403</v>
      </c>
      <c r="C7" s="3">
        <v>90000000</v>
      </c>
      <c r="D7" s="5">
        <f t="shared" si="0"/>
        <v>0.69630996171643189</v>
      </c>
      <c r="E7" s="5">
        <v>0.15</v>
      </c>
      <c r="F7" s="5">
        <v>0.185</v>
      </c>
      <c r="G7" s="4">
        <v>4.6363636363636357E-2</v>
      </c>
      <c r="H7" s="3">
        <v>131327445.9745463</v>
      </c>
      <c r="I7" s="3">
        <v>91444608.878853112</v>
      </c>
      <c r="J7" s="3">
        <v>1313274.459745463</v>
      </c>
      <c r="K7" s="3">
        <v>90131334.419107646</v>
      </c>
      <c r="L7" s="3">
        <v>11420139.213787241</v>
      </c>
      <c r="M7">
        <v>0</v>
      </c>
    </row>
    <row r="8" spans="1:13" x14ac:dyDescent="0.25">
      <c r="A8" s="2">
        <v>45504</v>
      </c>
      <c r="B8" s="3">
        <v>79556341.100608528</v>
      </c>
      <c r="C8" s="3">
        <v>90000000</v>
      </c>
      <c r="D8" s="5">
        <f t="shared" si="0"/>
        <v>0.69615132692128001</v>
      </c>
      <c r="E8" s="5">
        <v>0.14399999999999999</v>
      </c>
      <c r="F8" s="5">
        <v>0.17799999999999999</v>
      </c>
      <c r="G8" s="4">
        <v>4.6636363636363642E-2</v>
      </c>
      <c r="H8" s="3">
        <v>129151932.3717443</v>
      </c>
      <c r="I8" s="3">
        <v>89909289.095037222</v>
      </c>
      <c r="J8" s="3">
        <v>1291519.323717443</v>
      </c>
      <c r="K8" s="3">
        <v>88617769.771319777</v>
      </c>
      <c r="L8" s="3">
        <v>9061428.6707112491</v>
      </c>
      <c r="M8">
        <v>0</v>
      </c>
    </row>
    <row r="9" spans="1:13" x14ac:dyDescent="0.25">
      <c r="A9" s="2">
        <v>45535</v>
      </c>
      <c r="B9" s="3">
        <v>79894587.387064546</v>
      </c>
      <c r="C9" s="3">
        <v>90000000</v>
      </c>
      <c r="D9" s="5">
        <f t="shared" si="0"/>
        <v>0.69604084214868667</v>
      </c>
      <c r="E9" s="5">
        <v>0.13800000000000001</v>
      </c>
      <c r="F9" s="5">
        <v>0.17100000000000001</v>
      </c>
      <c r="G9" s="4">
        <v>4.6909090909090907E-2</v>
      </c>
      <c r="H9" s="3">
        <v>127834683.36043081</v>
      </c>
      <c r="I9" s="3">
        <v>88978160.662004963</v>
      </c>
      <c r="J9" s="3">
        <v>1278346.8336043081</v>
      </c>
      <c r="K9" s="3">
        <v>87699813.828400657</v>
      </c>
      <c r="L9" s="3">
        <v>7805226.4413361102</v>
      </c>
      <c r="M9">
        <v>0</v>
      </c>
    </row>
    <row r="10" spans="1:13" x14ac:dyDescent="0.25">
      <c r="A10" s="2">
        <v>45565</v>
      </c>
      <c r="B10" s="3">
        <v>77109462.143629014</v>
      </c>
      <c r="C10" s="3">
        <v>90000000</v>
      </c>
      <c r="D10" s="5">
        <f t="shared" si="0"/>
        <v>0.70162968341492682</v>
      </c>
      <c r="E10" s="5">
        <v>0.13200000000000001</v>
      </c>
      <c r="F10" s="5">
        <v>0.16400000000000001</v>
      </c>
      <c r="G10" s="4">
        <v>4.7181818181818179E-2</v>
      </c>
      <c r="H10" s="3">
        <v>110971103.7015647</v>
      </c>
      <c r="I10" s="3">
        <v>77860620.358333856</v>
      </c>
      <c r="J10" s="3">
        <v>1109711.0370156469</v>
      </c>
      <c r="K10" s="3">
        <v>76750909.321318209</v>
      </c>
      <c r="L10" s="3">
        <v>-358552.82231080532</v>
      </c>
      <c r="M10" s="3">
        <v>358552.82231080532</v>
      </c>
    </row>
    <row r="11" spans="1:13" x14ac:dyDescent="0.25">
      <c r="A11" s="2">
        <v>45596</v>
      </c>
      <c r="B11" s="3">
        <v>74653260.817355648</v>
      </c>
      <c r="C11" s="3">
        <v>90000000</v>
      </c>
      <c r="D11" s="5">
        <f t="shared" si="0"/>
        <v>0.70158581256488162</v>
      </c>
      <c r="E11" s="5">
        <v>0.126</v>
      </c>
      <c r="F11" s="5">
        <v>0.157</v>
      </c>
      <c r="G11" s="4">
        <v>4.7454545454545451E-2</v>
      </c>
      <c r="H11" s="3">
        <v>108324015.95879871</v>
      </c>
      <c r="I11" s="3">
        <v>75998592.756744996</v>
      </c>
      <c r="J11" s="3">
        <v>1083240.159587987</v>
      </c>
      <c r="K11" s="3">
        <v>74915352.597157016</v>
      </c>
      <c r="L11" s="3">
        <v>262091.77980136871</v>
      </c>
      <c r="M11">
        <v>0</v>
      </c>
    </row>
    <row r="12" spans="1:13" x14ac:dyDescent="0.25">
      <c r="A12" s="2">
        <v>45626</v>
      </c>
      <c r="B12" s="3">
        <v>72669121.39623858</v>
      </c>
      <c r="C12" s="3">
        <v>90000000</v>
      </c>
      <c r="D12" s="5">
        <f t="shared" si="0"/>
        <v>0.70152453996072384</v>
      </c>
      <c r="E12" s="5">
        <v>0.12</v>
      </c>
      <c r="F12" s="5">
        <v>0.15</v>
      </c>
      <c r="G12" s="4">
        <v>4.7727272727272722E-2</v>
      </c>
      <c r="H12" s="3">
        <v>106946223.155929</v>
      </c>
      <c r="I12" s="3">
        <v>75025400</v>
      </c>
      <c r="J12" s="3">
        <v>1069462.2315592901</v>
      </c>
      <c r="K12" s="3">
        <v>73955937.768440709</v>
      </c>
      <c r="L12" s="3">
        <v>1286816.3722021279</v>
      </c>
      <c r="M12">
        <v>0</v>
      </c>
    </row>
    <row r="13" spans="1:13" x14ac:dyDescent="0.25">
      <c r="A13" s="2">
        <v>45657</v>
      </c>
      <c r="B13" s="3">
        <v>70893376.138991654</v>
      </c>
      <c r="C13" s="3">
        <v>90000000</v>
      </c>
      <c r="D13" s="5">
        <f t="shared" si="0"/>
        <v>0.70159668985222923</v>
      </c>
      <c r="E13" s="5">
        <v>0.114</v>
      </c>
      <c r="F13" s="5">
        <v>0.14299999999999999</v>
      </c>
      <c r="G13" s="4">
        <v>4.8000000000000001E-2</v>
      </c>
      <c r="H13" s="3">
        <v>104908419.70121381</v>
      </c>
      <c r="I13" s="3">
        <v>73603400</v>
      </c>
      <c r="J13" s="3">
        <v>1049084.1970121381</v>
      </c>
      <c r="K13" s="3">
        <v>72554315.802987859</v>
      </c>
      <c r="L13" s="3">
        <v>1660939.663996205</v>
      </c>
      <c r="M13">
        <v>0</v>
      </c>
    </row>
    <row r="17" spans="6:6" x14ac:dyDescent="0.25">
      <c r="F17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kun zhao</cp:lastModifiedBy>
  <dcterms:created xsi:type="dcterms:W3CDTF">2026-02-05T17:13:04Z</dcterms:created>
  <dcterms:modified xsi:type="dcterms:W3CDTF">2026-02-06T12:24:33Z</dcterms:modified>
</cp:coreProperties>
</file>